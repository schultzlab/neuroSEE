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Schultz_group_data/Crazy Eights/Ann/Digital Logbook/"/>
    </mc:Choice>
  </mc:AlternateContent>
  <xr:revisionPtr revIDLastSave="0" documentId="13_ncr:1_{F762BD0F-8BA1-CF4D-88FE-39E448370871}" xr6:coauthVersionLast="37" xr6:coauthVersionMax="37" xr10:uidLastSave="{00000000-0000-0000-0000-000000000000}"/>
  <bookViews>
    <workbookView xWindow="15080" yWindow="440" windowWidth="12380" windowHeight="17300" xr2:uid="{14FC5268-F1F2-BC47-A149-1A02F728E1F8}"/>
  </bookViews>
  <sheets>
    <sheet name="Experiment Details" sheetId="1" r:id="rId1"/>
    <sheet name="Subject Details Template" sheetId="2" r:id="rId2"/>
    <sheet name="Subject Details (1)" sheetId="6" r:id="rId3"/>
    <sheet name="Subject Details (2)" sheetId="7" r:id="rId4"/>
    <sheet name="Subject Details (3)" sheetId="8" r:id="rId5"/>
  </sheets>
  <externalReferences>
    <externalReference r:id="rId6"/>
  </externalReferenc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8" l="1"/>
  <c r="B8" i="8"/>
  <c r="B7" i="8"/>
  <c r="B5" i="8"/>
  <c r="B4" i="8"/>
  <c r="B3" i="8"/>
  <c r="B9" i="7"/>
  <c r="B8" i="7"/>
  <c r="B7" i="7"/>
  <c r="B5" i="7"/>
  <c r="B4" i="7"/>
  <c r="B3" i="7"/>
  <c r="B9" i="6"/>
  <c r="B8" i="6"/>
  <c r="B7" i="6"/>
  <c r="B5" i="6"/>
  <c r="B4" i="6"/>
  <c r="B3" i="6"/>
  <c r="B7" i="2"/>
  <c r="B5" i="2"/>
  <c r="B9" i="2"/>
  <c r="B4" i="2"/>
  <c r="B8" i="2"/>
  <c r="B3" i="2"/>
</calcChain>
</file>

<file path=xl/sharedStrings.xml><?xml version="1.0" encoding="utf-8"?>
<sst xmlns="http://schemas.openxmlformats.org/spreadsheetml/2006/main" count="76" uniqueCount="31">
  <si>
    <t>Today’s experiment</t>
  </si>
  <si>
    <t xml:space="preserve">Morning: </t>
  </si>
  <si>
    <t xml:space="preserve">Afternoon: </t>
  </si>
  <si>
    <t>Experiment details</t>
  </si>
  <si>
    <t>Date</t>
  </si>
  <si>
    <t>Licensee</t>
  </si>
  <si>
    <t>IR camera</t>
  </si>
  <si>
    <t>Air table pressure</t>
  </si>
  <si>
    <t>Resonant scan rate</t>
  </si>
  <si>
    <t>Objective lens</t>
  </si>
  <si>
    <t>Laser wavelength</t>
  </si>
  <si>
    <r>
      <t>Subject details</t>
    </r>
    <r>
      <rPr>
        <sz val="12"/>
        <color theme="1"/>
        <rFont val="Cambria"/>
        <family val="1"/>
      </rPr>
      <t> </t>
    </r>
  </si>
  <si>
    <t>Number</t>
  </si>
  <si>
    <t>Ear mark</t>
  </si>
  <si>
    <t>Strain</t>
  </si>
  <si>
    <t>Sex</t>
  </si>
  <si>
    <t>DOB</t>
  </si>
  <si>
    <t>GCaMP Inj</t>
  </si>
  <si>
    <t>Methoxy Inj</t>
  </si>
  <si>
    <t>Behaviour training (IR)/GCaMP Imaging (2P)</t>
  </si>
  <si>
    <t>Time</t>
  </si>
  <si>
    <t>Imaging details</t>
  </si>
  <si>
    <t>Remarks</t>
  </si>
  <si>
    <t>Weight (g)</t>
  </si>
  <si>
    <t>IR (X)</t>
  </si>
  <si>
    <t>2P (X)</t>
  </si>
  <si>
    <t xml:space="preserve"> – open cage</t>
  </si>
  <si>
    <t xml:space="preserve"> – Y maze</t>
  </si>
  <si>
    <t>IR cam frame rate (Hz)</t>
  </si>
  <si>
    <t xml:space="preserve"> nm – GcaMP</t>
  </si>
  <si>
    <t xml:space="preserve"> nm - Methoxy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</si>
</sst>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.mm\.dd\ hh:mm"/>
  </numFmts>
  <fonts count="11" x14ac:knownFonts="1">
    <font>
      <sz val="12"/>
      <color theme="1"/>
      <name val="Calibri"/>
      <family val="2"/>
      <scheme val="minor"/>
    </font>
    <font>
      <b/>
      <sz val="14"/>
      <color theme="1"/>
      <name val="Cambria"/>
      <family val="1"/>
    </font>
    <font>
      <sz val="14"/>
      <color theme="1"/>
      <name val="Calibri"/>
      <family val="2"/>
      <scheme val="minor"/>
    </font>
    <font>
      <sz val="14"/>
      <color theme="1"/>
      <name val="Cambria"/>
      <family val="1"/>
    </font>
    <font>
      <b/>
      <sz val="14"/>
      <color theme="1"/>
      <name val="Calibri"/>
      <family val="2"/>
      <scheme val="minor"/>
    </font>
    <font>
      <b/>
      <sz val="12"/>
      <color theme="1"/>
      <name val="Cambria"/>
      <family val="1"/>
    </font>
    <font>
      <sz val="12"/>
      <color theme="1"/>
      <name val="Cambria"/>
      <family val="1"/>
    </font>
    <font>
      <sz val="12"/>
      <color rgb="FF000000"/>
      <name val="Calibri"/>
      <family val="2"/>
    </font>
    <font>
      <sz val="12"/>
      <color theme="0"/>
      <name val="Calibri"/>
      <family val="2"/>
      <scheme val="minor"/>
    </font>
    <font>
      <b/>
      <sz val="12"/>
      <color theme="0"/>
      <name val="Cambria"/>
      <family val="1"/>
    </font>
    <font>
      <b/>
      <sz val="14"/>
      <color theme="0"/>
      <name val="Cambria"/>
      <family val="1"/>
    </font>
  </fonts>
  <fills count="5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1" xfId="0" applyFont="1" applyBorder="1" applyAlignment="1">
      <alignment vertical="center" wrapText="1"/>
    </xf>
    <xf numFmtId="0" fontId="2" fillId="0" borderId="2" xfId="0" applyFont="1" applyBorder="1"/>
    <xf numFmtId="0" fontId="2" fillId="0" borderId="0" xfId="0" applyFont="1"/>
    <xf numFmtId="0" fontId="3" fillId="0" borderId="1" xfId="0" applyFont="1" applyBorder="1" applyAlignment="1">
      <alignment vertical="center" wrapText="1"/>
    </xf>
    <xf numFmtId="0" fontId="2" fillId="0" borderId="0" xfId="0" applyFont="1" applyBorder="1"/>
    <xf numFmtId="0" fontId="3" fillId="0" borderId="0" xfId="0" applyFont="1" applyBorder="1" applyAlignment="1">
      <alignment vertical="center" wrapText="1"/>
    </xf>
    <xf numFmtId="0" fontId="1" fillId="0" borderId="1" xfId="0" applyFont="1" applyBorder="1"/>
    <xf numFmtId="0" fontId="3" fillId="0" borderId="5" xfId="0" applyFont="1" applyBorder="1" applyAlignment="1">
      <alignment vertical="center" wrapText="1"/>
    </xf>
    <xf numFmtId="0" fontId="3" fillId="0" borderId="7" xfId="0" applyFont="1" applyBorder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0" fontId="4" fillId="0" borderId="1" xfId="0" applyFont="1" applyBorder="1"/>
    <xf numFmtId="0" fontId="5" fillId="0" borderId="8" xfId="0" applyFont="1" applyBorder="1" applyAlignment="1">
      <alignment horizontal="left" vertical="center" wrapText="1"/>
    </xf>
    <xf numFmtId="0" fontId="5" fillId="0" borderId="0" xfId="0" applyFont="1" applyBorder="1" applyAlignment="1">
      <alignment vertical="center" wrapText="1"/>
    </xf>
    <xf numFmtId="0" fontId="5" fillId="0" borderId="9" xfId="0" applyFont="1" applyBorder="1" applyAlignment="1">
      <alignment vertical="center" wrapText="1"/>
    </xf>
    <xf numFmtId="0" fontId="5" fillId="2" borderId="8" xfId="0" applyFont="1" applyFill="1" applyBorder="1" applyAlignment="1">
      <alignment horizontal="left" vertical="center" wrapText="1"/>
    </xf>
    <xf numFmtId="0" fontId="6" fillId="0" borderId="8" xfId="0" applyFont="1" applyBorder="1" applyAlignment="1">
      <alignment vertical="center" wrapText="1"/>
    </xf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0" fillId="0" borderId="0" xfId="0" applyFont="1" applyFill="1" applyBorder="1"/>
    <xf numFmtId="0" fontId="5" fillId="2" borderId="8" xfId="0" applyFont="1" applyFill="1" applyBorder="1" applyAlignment="1" applyProtection="1">
      <alignment horizontal="left" vertical="center" wrapText="1"/>
      <protection locked="0"/>
    </xf>
    <xf numFmtId="0" fontId="6" fillId="0" borderId="0" xfId="0" applyFont="1" applyFill="1" applyBorder="1" applyAlignment="1">
      <alignment vertical="center" wrapText="1"/>
    </xf>
    <xf numFmtId="0" fontId="5" fillId="0" borderId="10" xfId="0" applyFont="1" applyBorder="1" applyAlignment="1">
      <alignment horizontal="left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vertical="center" wrapText="1"/>
    </xf>
    <xf numFmtId="20" fontId="6" fillId="0" borderId="8" xfId="0" applyNumberFormat="1" applyFont="1" applyBorder="1" applyAlignment="1">
      <alignment horizontal="left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8" xfId="0" applyFont="1" applyBorder="1" applyAlignment="1">
      <alignment vertical="center" wrapText="1"/>
    </xf>
    <xf numFmtId="0" fontId="3" fillId="0" borderId="1" xfId="0" applyFont="1" applyBorder="1" applyAlignment="1">
      <alignment vertical="center"/>
    </xf>
    <xf numFmtId="0" fontId="0" fillId="0" borderId="8" xfId="0" applyFont="1" applyBorder="1" applyAlignment="1">
      <alignment vertical="center" wrapText="1"/>
    </xf>
    <xf numFmtId="164" fontId="0" fillId="0" borderId="8" xfId="0" applyNumberFormat="1" applyFont="1" applyBorder="1" applyAlignment="1">
      <alignment vertical="center" wrapText="1"/>
    </xf>
    <xf numFmtId="0" fontId="0" fillId="0" borderId="8" xfId="0" applyFont="1" applyBorder="1" applyAlignment="1">
      <alignment vertical="center" wrapText="1"/>
    </xf>
    <xf numFmtId="0" fontId="0" fillId="0" borderId="8" xfId="0" applyNumberFormat="1" applyFont="1" applyBorder="1" applyAlignment="1">
      <alignment vertical="center" wrapText="1"/>
    </xf>
    <xf numFmtId="0" fontId="9" fillId="3" borderId="8" xfId="0" applyFont="1" applyFill="1" applyBorder="1" applyAlignment="1">
      <alignment horizontal="left" vertical="center" wrapText="1"/>
    </xf>
    <xf numFmtId="0" fontId="9" fillId="3" borderId="8" xfId="0" applyFont="1" applyFill="1" applyBorder="1" applyAlignment="1" applyProtection="1">
      <alignment horizontal="left" vertical="center" wrapText="1"/>
      <protection locked="0"/>
    </xf>
    <xf numFmtId="0" fontId="9" fillId="3" borderId="8" xfId="0" applyFont="1" applyFill="1" applyBorder="1" applyAlignment="1">
      <alignment horizontal="center" vertical="center" wrapText="1"/>
    </xf>
    <xf numFmtId="0" fontId="9" fillId="3" borderId="8" xfId="0" applyFont="1" applyFill="1" applyBorder="1" applyAlignment="1">
      <alignment vertical="center" wrapText="1"/>
    </xf>
    <xf numFmtId="0" fontId="8" fillId="0" borderId="0" xfId="0" applyFont="1" applyFill="1"/>
    <xf numFmtId="0" fontId="10" fillId="4" borderId="3" xfId="0" applyFont="1" applyFill="1" applyBorder="1" applyAlignment="1">
      <alignment vertical="center" wrapText="1"/>
    </xf>
    <xf numFmtId="0" fontId="10" fillId="4" borderId="4" xfId="0" applyFont="1" applyFill="1" applyBorder="1" applyAlignment="1">
      <alignment vertical="center" wrapText="1"/>
    </xf>
    <xf numFmtId="0" fontId="10" fillId="4" borderId="6" xfId="0" applyFont="1" applyFill="1" applyBorder="1" applyAlignment="1">
      <alignment vertical="center" wrapText="1"/>
    </xf>
    <xf numFmtId="0" fontId="10" fillId="4" borderId="1" xfId="0" applyFont="1" applyFill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127000</xdr:colOff>
          <xdr:row>20</xdr:row>
          <xdr:rowOff>0</xdr:rowOff>
        </xdr:from>
        <xdr:to>
          <xdr:col>6</xdr:col>
          <xdr:colOff>381000</xdr:colOff>
          <xdr:row>22</xdr:row>
          <xdr:rowOff>63500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127000</xdr:colOff>
          <xdr:row>19</xdr:row>
          <xdr:rowOff>0</xdr:rowOff>
        </xdr:from>
        <xdr:to>
          <xdr:col>6</xdr:col>
          <xdr:colOff>381000</xdr:colOff>
          <xdr:row>21</xdr:row>
          <xdr:rowOff>25400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19</xdr:row>
          <xdr:rowOff>0</xdr:rowOff>
        </xdr:from>
        <xdr:to>
          <xdr:col>6</xdr:col>
          <xdr:colOff>393700</xdr:colOff>
          <xdr:row>20</xdr:row>
          <xdr:rowOff>25400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19</xdr:row>
          <xdr:rowOff>0</xdr:rowOff>
        </xdr:from>
        <xdr:to>
          <xdr:col>6</xdr:col>
          <xdr:colOff>342900</xdr:colOff>
          <xdr:row>20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etting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</sheetNames>
    <sheetDataSet>
      <sheetData sheetId="0">
        <row r="7">
          <cell r="A7" t="str">
            <v>Cohort Details</v>
          </cell>
        </row>
        <row r="8">
          <cell r="A8" t="str">
            <v>Number</v>
          </cell>
          <cell r="B8" t="str">
            <v>Ear mark</v>
          </cell>
          <cell r="C8" t="str">
            <v>Strain</v>
          </cell>
          <cell r="D8" t="str">
            <v>Sex</v>
          </cell>
          <cell r="E8" t="str">
            <v>DOB</v>
          </cell>
          <cell r="F8" t="str">
            <v>GCaMP Inj</v>
          </cell>
          <cell r="G8" t="str">
            <v>Methoxy Inj</v>
          </cell>
        </row>
        <row r="9">
          <cell r="A9" t="str">
            <v>m33</v>
          </cell>
          <cell r="B9" t="str">
            <v>R1</v>
          </cell>
          <cell r="C9" t="str">
            <v>5xFAD</v>
          </cell>
          <cell r="D9" t="str">
            <v>F</v>
          </cell>
          <cell r="E9">
            <v>2016</v>
          </cell>
          <cell r="F9">
            <v>2016</v>
          </cell>
          <cell r="G9" t="str">
            <v>NA</v>
          </cell>
        </row>
        <row r="10">
          <cell r="A10" t="str">
            <v>m35</v>
          </cell>
          <cell r="B10" t="str">
            <v>RL</v>
          </cell>
          <cell r="C10" t="str">
            <v>APP</v>
          </cell>
          <cell r="D10" t="str">
            <v>F</v>
          </cell>
          <cell r="E10" t="str">
            <v>2016.10.15</v>
          </cell>
          <cell r="F10" t="str">
            <v>2017.11.09</v>
          </cell>
          <cell r="G10" t="str">
            <v>2018.03.02 12:30</v>
          </cell>
        </row>
        <row r="11">
          <cell r="A11" t="str">
            <v>m43</v>
          </cell>
          <cell r="B11" t="str">
            <v>R1</v>
          </cell>
          <cell r="C11" t="str">
            <v>5xFAD</v>
          </cell>
          <cell r="D11" t="str">
            <v>F</v>
          </cell>
          <cell r="E11" t="str">
            <v>2017.04.24</v>
          </cell>
          <cell r="F11" t="str">
            <v>2018.01.13</v>
          </cell>
          <cell r="G11" t="str">
            <v>2018.03.02 12:30</v>
          </cell>
        </row>
        <row r="12">
          <cell r="A12" t="str">
            <v>m44</v>
          </cell>
          <cell r="B12" t="str">
            <v>R2</v>
          </cell>
          <cell r="C12" t="str">
            <v>5xFAD</v>
          </cell>
          <cell r="D12" t="str">
            <v>M</v>
          </cell>
          <cell r="E12" t="str">
            <v>2017.05.16</v>
          </cell>
          <cell r="F12" t="str">
            <v>2018.01.13</v>
          </cell>
          <cell r="G12" t="str">
            <v>2018.03.03 15:10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BD206-D84C-EE43-ABD3-06ABA9415A19}">
  <sheetPr codeName="Sheet3"/>
  <dimension ref="A1:C13"/>
  <sheetViews>
    <sheetView tabSelected="1" workbookViewId="0">
      <selection activeCell="A17" sqref="A17"/>
    </sheetView>
  </sheetViews>
  <sheetFormatPr baseColWidth="10" defaultRowHeight="19" x14ac:dyDescent="0.25"/>
  <cols>
    <col min="1" max="1" width="30.1640625" style="3" customWidth="1"/>
    <col min="2" max="2" width="43" style="3" customWidth="1"/>
    <col min="3" max="3" width="21.33203125" style="3" customWidth="1"/>
    <col min="4" max="16384" width="10.83203125" style="3"/>
  </cols>
  <sheetData>
    <row r="1" spans="1:3" ht="20" thickBot="1" x14ac:dyDescent="0.3">
      <c r="A1" s="1" t="s">
        <v>0</v>
      </c>
      <c r="B1" s="2"/>
    </row>
    <row r="2" spans="1:3" ht="20" thickBot="1" x14ac:dyDescent="0.3">
      <c r="A2" s="11" t="s">
        <v>1</v>
      </c>
      <c r="B2" s="4"/>
    </row>
    <row r="3" spans="1:3" ht="20" thickBot="1" x14ac:dyDescent="0.3">
      <c r="A3" s="11" t="s">
        <v>2</v>
      </c>
      <c r="B3" s="4"/>
    </row>
    <row r="4" spans="1:3" ht="20" thickBot="1" x14ac:dyDescent="0.3">
      <c r="A4" s="5"/>
      <c r="B4" s="6"/>
    </row>
    <row r="5" spans="1:3" ht="20" thickBot="1" x14ac:dyDescent="0.3">
      <c r="A5" s="7" t="s">
        <v>3</v>
      </c>
    </row>
    <row r="6" spans="1:3" ht="20" thickBot="1" x14ac:dyDescent="0.3">
      <c r="A6" s="37" t="s">
        <v>4</v>
      </c>
      <c r="B6" s="27"/>
    </row>
    <row r="7" spans="1:3" ht="20" thickBot="1" x14ac:dyDescent="0.3">
      <c r="A7" s="38" t="s">
        <v>5</v>
      </c>
      <c r="B7" s="8"/>
    </row>
    <row r="8" spans="1:3" ht="20" thickBot="1" x14ac:dyDescent="0.3">
      <c r="A8" s="38" t="s">
        <v>6</v>
      </c>
      <c r="B8" s="8"/>
    </row>
    <row r="9" spans="1:3" ht="20" thickBot="1" x14ac:dyDescent="0.3">
      <c r="A9" s="39" t="s">
        <v>7</v>
      </c>
      <c r="B9" s="9" t="s">
        <v>26</v>
      </c>
      <c r="C9" s="4" t="s">
        <v>27</v>
      </c>
    </row>
    <row r="10" spans="1:3" ht="20" thickBot="1" x14ac:dyDescent="0.3">
      <c r="A10" s="37" t="s">
        <v>28</v>
      </c>
      <c r="B10" s="4"/>
    </row>
    <row r="11" spans="1:3" ht="20" thickBot="1" x14ac:dyDescent="0.3">
      <c r="A11" s="38" t="s">
        <v>8</v>
      </c>
      <c r="B11" s="10"/>
    </row>
    <row r="12" spans="1:3" ht="20" thickBot="1" x14ac:dyDescent="0.3">
      <c r="A12" s="40" t="s">
        <v>9</v>
      </c>
      <c r="B12" s="4"/>
    </row>
    <row r="13" spans="1:3" ht="20" thickBot="1" x14ac:dyDescent="0.3">
      <c r="A13" s="40" t="s">
        <v>10</v>
      </c>
      <c r="B13" s="8" t="s">
        <v>29</v>
      </c>
      <c r="C13" s="4" t="s">
        <v>30</v>
      </c>
    </row>
  </sheetData>
  <dataValidations count="2">
    <dataValidation type="list" allowBlank="1" showInputMessage="1" showErrorMessage="1" sqref="B7" xr:uid="{31F72EE6-FEE4-3948-9F26-83238C55CD8C}">
      <formula1>INDIRECT("[settings.xlsm]Settings!ExpDetails[Licensee]")</formula1>
    </dataValidation>
    <dataValidation type="list" allowBlank="1" showInputMessage="1" showErrorMessage="1" sqref="B8" xr:uid="{97C98499-FB29-AA40-ADCD-40714A3FBBAF}">
      <formula1>INDIRECT("[settings.xlsm]Settings!ExpDetails[Tracker]")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A6AC0-7752-9644-9B49-2F13EDEEE164}">
  <sheetPr codeName="Sheet2"/>
  <dimension ref="A1:E20"/>
  <sheetViews>
    <sheetView workbookViewId="0">
      <selection activeCell="B16" sqref="B16"/>
    </sheetView>
  </sheetViews>
  <sheetFormatPr baseColWidth="10" defaultRowHeight="16" x14ac:dyDescent="0.2"/>
  <cols>
    <col min="1" max="1" width="31.5" customWidth="1"/>
    <col min="2" max="3" width="17.6640625"/>
    <col min="4" max="4" width="26.83203125" customWidth="1"/>
    <col min="5" max="5" width="56" customWidth="1"/>
  </cols>
  <sheetData>
    <row r="1" spans="1:5" ht="17" x14ac:dyDescent="0.2">
      <c r="A1" s="12" t="s">
        <v>11</v>
      </c>
      <c r="B1" s="13"/>
      <c r="C1" s="14"/>
      <c r="D1" s="14"/>
      <c r="E1" s="14"/>
    </row>
    <row r="2" spans="1:5" ht="17" x14ac:dyDescent="0.2">
      <c r="A2" s="32" t="s">
        <v>12</v>
      </c>
      <c r="B2" s="26"/>
      <c r="C2" s="17"/>
      <c r="D2" s="17"/>
      <c r="E2" s="18"/>
    </row>
    <row r="3" spans="1:5" ht="17" x14ac:dyDescent="0.2">
      <c r="A3" s="33" t="s">
        <v>13</v>
      </c>
      <c r="B3" s="28" t="e">
        <f>VLOOKUP(B2,[1]Settings!$A$7:$G$12,2,FALSE)</f>
        <v>#N/A</v>
      </c>
      <c r="C3" s="20"/>
      <c r="D3" s="20"/>
      <c r="E3" s="20"/>
    </row>
    <row r="4" spans="1:5" ht="17" x14ac:dyDescent="0.2">
      <c r="A4" s="32" t="s">
        <v>14</v>
      </c>
      <c r="B4" s="28" t="e">
        <f>VLOOKUP(B2,[1]Settings!$A$7:$G$12,3,FALSE)</f>
        <v>#N/A</v>
      </c>
      <c r="C4" s="20"/>
      <c r="D4" s="20"/>
      <c r="E4" s="20"/>
    </row>
    <row r="5" spans="1:5" ht="17" x14ac:dyDescent="0.2">
      <c r="A5" s="32" t="s">
        <v>15</v>
      </c>
      <c r="B5" s="28" t="e">
        <f>VLOOKUP(B2,[1]Settings!$A$7:$G$12,4,FALSE)</f>
        <v>#N/A</v>
      </c>
      <c r="C5" s="20"/>
      <c r="D5" s="20"/>
      <c r="E5" s="20"/>
    </row>
    <row r="6" spans="1:5" ht="17" x14ac:dyDescent="0.2">
      <c r="A6" s="32" t="s">
        <v>23</v>
      </c>
      <c r="B6" s="16"/>
      <c r="C6" s="20"/>
      <c r="D6" s="20"/>
      <c r="E6" s="20"/>
    </row>
    <row r="7" spans="1:5" ht="17" x14ac:dyDescent="0.2">
      <c r="A7" s="32" t="s">
        <v>16</v>
      </c>
      <c r="B7" s="31" t="e">
        <f>VLOOKUP(B2,[1]Settings!$A$7:$G$12,5,FALSE)</f>
        <v>#N/A</v>
      </c>
      <c r="C7" s="20"/>
      <c r="D7" s="20"/>
      <c r="E7" s="20"/>
    </row>
    <row r="8" spans="1:5" ht="17" x14ac:dyDescent="0.2">
      <c r="A8" s="32" t="s">
        <v>17</v>
      </c>
      <c r="B8" s="30" t="e">
        <f>VLOOKUP(B2,[1]Settings!$A$7:$G$12,6,FALSE)</f>
        <v>#N/A</v>
      </c>
      <c r="C8" s="20"/>
      <c r="D8" s="20"/>
      <c r="E8" s="20"/>
    </row>
    <row r="9" spans="1:5" ht="17" x14ac:dyDescent="0.2">
      <c r="A9" s="32" t="s">
        <v>18</v>
      </c>
      <c r="B9" s="29" t="e">
        <f>VLOOKUP(B2,[1]Settings!$A$7:$G$12,7,FALSE)</f>
        <v>#N/A</v>
      </c>
      <c r="C9" s="20"/>
      <c r="D9" s="20"/>
      <c r="E9" s="20"/>
    </row>
    <row r="10" spans="1:5" ht="34" x14ac:dyDescent="0.2">
      <c r="A10" s="21" t="s">
        <v>19</v>
      </c>
      <c r="B10" s="13"/>
      <c r="C10" s="13"/>
      <c r="D10" s="13"/>
      <c r="E10" s="13"/>
    </row>
    <row r="11" spans="1:5" s="36" customFormat="1" ht="17" x14ac:dyDescent="0.2">
      <c r="A11" s="32" t="s">
        <v>20</v>
      </c>
      <c r="B11" s="34" t="s">
        <v>24</v>
      </c>
      <c r="C11" s="34" t="s">
        <v>25</v>
      </c>
      <c r="D11" s="35" t="s">
        <v>21</v>
      </c>
      <c r="E11" s="35" t="s">
        <v>22</v>
      </c>
    </row>
    <row r="12" spans="1:5" x14ac:dyDescent="0.2">
      <c r="A12" s="24"/>
      <c r="B12" s="26"/>
      <c r="C12" s="26"/>
      <c r="D12" s="16"/>
      <c r="E12" s="16"/>
    </row>
    <row r="13" spans="1:5" x14ac:dyDescent="0.2">
      <c r="A13" s="24"/>
      <c r="B13" s="26"/>
      <c r="C13" s="26"/>
      <c r="D13" s="16"/>
      <c r="E13" s="16"/>
    </row>
    <row r="14" spans="1:5" x14ac:dyDescent="0.2">
      <c r="A14" s="24"/>
      <c r="B14" s="26"/>
      <c r="C14" s="26"/>
      <c r="D14" s="26"/>
      <c r="E14" s="26"/>
    </row>
    <row r="15" spans="1:5" x14ac:dyDescent="0.2">
      <c r="A15" s="24"/>
      <c r="B15" s="26"/>
      <c r="C15" s="26"/>
      <c r="D15" s="26"/>
      <c r="E15" s="26"/>
    </row>
    <row r="16" spans="1:5" x14ac:dyDescent="0.2">
      <c r="A16" s="24"/>
      <c r="B16" s="26"/>
      <c r="C16" s="26"/>
      <c r="D16" s="26"/>
      <c r="E16" s="26"/>
    </row>
    <row r="17" spans="1:5" x14ac:dyDescent="0.2">
      <c r="A17" s="24"/>
      <c r="B17" s="26"/>
      <c r="C17" s="26"/>
      <c r="D17" s="26"/>
      <c r="E17" s="26"/>
    </row>
    <row r="18" spans="1:5" x14ac:dyDescent="0.2">
      <c r="A18" s="24"/>
      <c r="B18" s="26"/>
      <c r="C18" s="26"/>
      <c r="D18" s="26"/>
      <c r="E18" s="26"/>
    </row>
    <row r="19" spans="1:5" x14ac:dyDescent="0.2">
      <c r="A19" s="24"/>
      <c r="B19" s="26"/>
      <c r="C19" s="26"/>
      <c r="D19" s="26"/>
      <c r="E19" s="26"/>
    </row>
    <row r="20" spans="1:5" x14ac:dyDescent="0.2">
      <c r="A20" s="24"/>
      <c r="B20" s="26"/>
      <c r="C20" s="26"/>
      <c r="D20" s="26"/>
      <c r="E20" s="26"/>
    </row>
  </sheetData>
  <dataConsolidate/>
  <dataValidations count="2">
    <dataValidation type="list" allowBlank="1" showInputMessage="1" showErrorMessage="1" sqref="B2" xr:uid="{2DAA3E06-369B-8940-8178-4B2601452806}">
      <formula1>INDIRECT("[settings.xlsm]Settings!cohort[Number]")</formula1>
    </dataValidation>
    <dataValidation type="list" allowBlank="1" showInputMessage="1" showErrorMessage="1" sqref="B12:C20" xr:uid="{BF9DA255-E366-8945-A01A-9FA52C19F924}">
      <formula1>INDIRECT("[settings.xlsm]Settings!x[For Drop Down X]")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3" name="Button 9">
              <controlPr defaultSize="0" print="0" autoFill="0" autoPict="0" macro="[0]!InsertRow">
                <anchor moveWithCells="1">
                  <from>
                    <xdr:col>5</xdr:col>
                    <xdr:colOff>127000</xdr:colOff>
                    <xdr:row>20</xdr:row>
                    <xdr:rowOff>0</xdr:rowOff>
                  </from>
                  <to>
                    <xdr:col>6</xdr:col>
                    <xdr:colOff>381000</xdr:colOff>
                    <xdr:row>22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D7DC5-77D9-4340-9494-FC4F3696D83B}">
  <sheetPr codeName="Sheet5"/>
  <dimension ref="A1:E19"/>
  <sheetViews>
    <sheetView workbookViewId="0">
      <selection activeCell="A11" sqref="A11:E11"/>
    </sheetView>
  </sheetViews>
  <sheetFormatPr baseColWidth="10" defaultRowHeight="16" x14ac:dyDescent="0.2"/>
  <cols>
    <col min="1" max="1" width="31.5" customWidth="1"/>
    <col min="4" max="4" width="26.83203125" customWidth="1"/>
    <col min="5" max="5" width="56" customWidth="1"/>
  </cols>
  <sheetData>
    <row r="1" spans="1:5" ht="17" x14ac:dyDescent="0.2">
      <c r="A1" s="12" t="s">
        <v>11</v>
      </c>
      <c r="B1" s="13"/>
      <c r="C1" s="14"/>
      <c r="D1" s="14"/>
      <c r="E1" s="14"/>
    </row>
    <row r="2" spans="1:5" ht="17" x14ac:dyDescent="0.2">
      <c r="A2" s="32" t="s">
        <v>12</v>
      </c>
      <c r="B2" s="26"/>
      <c r="C2" s="17"/>
      <c r="D2" s="17"/>
      <c r="E2" s="18"/>
    </row>
    <row r="3" spans="1:5" ht="17" x14ac:dyDescent="0.2">
      <c r="A3" s="33" t="s">
        <v>13</v>
      </c>
      <c r="B3" s="30" t="e">
        <f>VLOOKUP(B2,[1]Settings!$A$7:$G$12,2,FALSE)</f>
        <v>#N/A</v>
      </c>
      <c r="C3" s="20"/>
      <c r="D3" s="20"/>
      <c r="E3" s="20"/>
    </row>
    <row r="4" spans="1:5" ht="17" x14ac:dyDescent="0.2">
      <c r="A4" s="32" t="s">
        <v>14</v>
      </c>
      <c r="B4" s="30" t="e">
        <f>VLOOKUP(B2,[1]Settings!$A$7:$G$12,3,FALSE)</f>
        <v>#N/A</v>
      </c>
      <c r="C4" s="20"/>
      <c r="D4" s="20"/>
      <c r="E4" s="20"/>
    </row>
    <row r="5" spans="1:5" ht="17" x14ac:dyDescent="0.2">
      <c r="A5" s="32" t="s">
        <v>15</v>
      </c>
      <c r="B5" s="30" t="e">
        <f>VLOOKUP(B2,[1]Settings!$A$7:$G$12,4,FALSE)</f>
        <v>#N/A</v>
      </c>
      <c r="C5" s="20"/>
      <c r="D5" s="20"/>
      <c r="E5" s="20"/>
    </row>
    <row r="6" spans="1:5" ht="17" x14ac:dyDescent="0.2">
      <c r="A6" s="32" t="s">
        <v>23</v>
      </c>
      <c r="B6" s="26"/>
      <c r="C6" s="20"/>
      <c r="D6" s="20"/>
      <c r="E6" s="20"/>
    </row>
    <row r="7" spans="1:5" ht="17" x14ac:dyDescent="0.2">
      <c r="A7" s="32" t="s">
        <v>16</v>
      </c>
      <c r="B7" s="31" t="e">
        <f>VLOOKUP(B2,[1]Settings!$A$7:$G$12,5,FALSE)</f>
        <v>#N/A</v>
      </c>
      <c r="C7" s="20"/>
      <c r="D7" s="20"/>
      <c r="E7" s="20"/>
    </row>
    <row r="8" spans="1:5" ht="17" x14ac:dyDescent="0.2">
      <c r="A8" s="32" t="s">
        <v>17</v>
      </c>
      <c r="B8" s="30" t="e">
        <f>VLOOKUP(B2,[1]Settings!$A$7:$G$12,6,FALSE)</f>
        <v>#N/A</v>
      </c>
      <c r="C8" s="20"/>
      <c r="D8" s="20"/>
      <c r="E8" s="20"/>
    </row>
    <row r="9" spans="1:5" ht="17" x14ac:dyDescent="0.2">
      <c r="A9" s="32" t="s">
        <v>18</v>
      </c>
      <c r="B9" s="29" t="e">
        <f>VLOOKUP(B2,[1]Settings!$A$7:$G$12,7,FALSE)</f>
        <v>#N/A</v>
      </c>
      <c r="C9" s="20"/>
      <c r="D9" s="20"/>
      <c r="E9" s="20"/>
    </row>
    <row r="10" spans="1:5" ht="34" x14ac:dyDescent="0.2">
      <c r="A10" s="21" t="s">
        <v>19</v>
      </c>
      <c r="B10" s="13"/>
      <c r="C10" s="13"/>
      <c r="D10" s="13"/>
      <c r="E10" s="13"/>
    </row>
    <row r="11" spans="1:5" ht="17" x14ac:dyDescent="0.2">
      <c r="A11" s="32" t="s">
        <v>20</v>
      </c>
      <c r="B11" s="34" t="s">
        <v>24</v>
      </c>
      <c r="C11" s="34" t="s">
        <v>25</v>
      </c>
      <c r="D11" s="35" t="s">
        <v>21</v>
      </c>
      <c r="E11" s="35" t="s">
        <v>22</v>
      </c>
    </row>
    <row r="12" spans="1:5" x14ac:dyDescent="0.2">
      <c r="A12" s="24"/>
      <c r="B12" s="26"/>
      <c r="C12" s="26"/>
      <c r="D12" s="26"/>
      <c r="E12" s="26"/>
    </row>
    <row r="13" spans="1:5" x14ac:dyDescent="0.2">
      <c r="A13" s="24"/>
      <c r="B13" s="26"/>
      <c r="C13" s="26"/>
      <c r="D13" s="26"/>
      <c r="E13" s="26"/>
    </row>
    <row r="14" spans="1:5" x14ac:dyDescent="0.2">
      <c r="A14" s="24"/>
      <c r="B14" s="26"/>
      <c r="C14" s="26"/>
      <c r="D14" s="26"/>
      <c r="E14" s="26"/>
    </row>
    <row r="15" spans="1:5" x14ac:dyDescent="0.2">
      <c r="A15" s="24"/>
      <c r="B15" s="26"/>
      <c r="C15" s="26"/>
      <c r="D15" s="26"/>
      <c r="E15" s="26"/>
    </row>
    <row r="16" spans="1:5" x14ac:dyDescent="0.2">
      <c r="A16" s="24"/>
      <c r="B16" s="26"/>
      <c r="C16" s="26"/>
      <c r="D16" s="26"/>
      <c r="E16" s="26"/>
    </row>
    <row r="17" spans="1:5" x14ac:dyDescent="0.2">
      <c r="A17" s="24"/>
      <c r="B17" s="26"/>
      <c r="C17" s="26"/>
      <c r="D17" s="26"/>
      <c r="E17" s="26"/>
    </row>
    <row r="18" spans="1:5" x14ac:dyDescent="0.2">
      <c r="A18" s="24"/>
      <c r="B18" s="26"/>
      <c r="C18" s="26"/>
      <c r="D18" s="26"/>
      <c r="E18" s="26"/>
    </row>
    <row r="19" spans="1:5" x14ac:dyDescent="0.2">
      <c r="A19" s="24"/>
      <c r="B19" s="26"/>
      <c r="C19" s="26"/>
      <c r="D19" s="26"/>
      <c r="E19" s="26"/>
    </row>
  </sheetData>
  <dataConsolidate/>
  <dataValidations count="2">
    <dataValidation type="list" allowBlank="1" showInputMessage="1" showErrorMessage="1" sqref="B2" xr:uid="{0FBB3F06-4CFF-8F42-B377-54911F59B998}">
      <formula1>INDIRECT("[settings.xlsm]Settings!cohort[Number]")</formula1>
    </dataValidation>
    <dataValidation type="list" allowBlank="1" showInputMessage="1" showErrorMessage="1" sqref="B12:C19" xr:uid="{AFD46B00-B726-694B-8C9E-22EE61DD7436}">
      <formula1>INDIRECT("[settings.xlsm]Settings!x[For Drop Down X]")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InsertRow">
                <anchor moveWithCells="1">
                  <from>
                    <xdr:col>5</xdr:col>
                    <xdr:colOff>127000</xdr:colOff>
                    <xdr:row>19</xdr:row>
                    <xdr:rowOff>0</xdr:rowOff>
                  </from>
                  <to>
                    <xdr:col>6</xdr:col>
                    <xdr:colOff>381000</xdr:colOff>
                    <xdr:row>21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CFD21-BBDD-4142-9341-7A2AFAB50277}">
  <sheetPr codeName="Sheet6"/>
  <dimension ref="A1:E19"/>
  <sheetViews>
    <sheetView workbookViewId="0">
      <selection activeCell="A20" sqref="A20:XFD20"/>
    </sheetView>
  </sheetViews>
  <sheetFormatPr baseColWidth="10" defaultRowHeight="16" x14ac:dyDescent="0.2"/>
  <cols>
    <col min="1" max="1" width="31.5" customWidth="1"/>
    <col min="4" max="4" width="26.83203125" customWidth="1"/>
    <col min="5" max="5" width="56" customWidth="1"/>
  </cols>
  <sheetData>
    <row r="1" spans="1:5" ht="17" x14ac:dyDescent="0.2">
      <c r="A1" s="12" t="s">
        <v>11</v>
      </c>
      <c r="B1" s="13"/>
      <c r="C1" s="14"/>
      <c r="D1" s="14"/>
      <c r="E1" s="14"/>
    </row>
    <row r="2" spans="1:5" ht="17" x14ac:dyDescent="0.2">
      <c r="A2" s="15" t="s">
        <v>12</v>
      </c>
      <c r="B2" s="26"/>
      <c r="C2" s="17"/>
      <c r="D2" s="17"/>
      <c r="E2" s="18"/>
    </row>
    <row r="3" spans="1:5" ht="17" x14ac:dyDescent="0.2">
      <c r="A3" s="19" t="s">
        <v>13</v>
      </c>
      <c r="B3" s="30" t="e">
        <f>VLOOKUP(B2,[1]Settings!$A$7:$G$12,2,FALSE)</f>
        <v>#N/A</v>
      </c>
      <c r="C3" s="20"/>
      <c r="D3" s="20"/>
      <c r="E3" s="20"/>
    </row>
    <row r="4" spans="1:5" ht="17" x14ac:dyDescent="0.2">
      <c r="A4" s="15" t="s">
        <v>14</v>
      </c>
      <c r="B4" s="30" t="e">
        <f>VLOOKUP(B2,[1]Settings!$A$7:$G$12,3,FALSE)</f>
        <v>#N/A</v>
      </c>
      <c r="C4" s="20"/>
      <c r="D4" s="20"/>
      <c r="E4" s="20"/>
    </row>
    <row r="5" spans="1:5" ht="17" x14ac:dyDescent="0.2">
      <c r="A5" s="15" t="s">
        <v>15</v>
      </c>
      <c r="B5" s="30" t="e">
        <f>VLOOKUP(B2,[1]Settings!$A$7:$G$12,4,FALSE)</f>
        <v>#N/A</v>
      </c>
      <c r="C5" s="20"/>
      <c r="D5" s="20"/>
      <c r="E5" s="20"/>
    </row>
    <row r="6" spans="1:5" ht="17" x14ac:dyDescent="0.2">
      <c r="A6" s="15" t="s">
        <v>23</v>
      </c>
      <c r="B6" s="26"/>
      <c r="C6" s="20"/>
      <c r="D6" s="20"/>
      <c r="E6" s="20"/>
    </row>
    <row r="7" spans="1:5" ht="17" x14ac:dyDescent="0.2">
      <c r="A7" s="15" t="s">
        <v>16</v>
      </c>
      <c r="B7" s="31" t="e">
        <f>VLOOKUP(B2,[1]Settings!$A$7:$G$12,5,FALSE)</f>
        <v>#N/A</v>
      </c>
      <c r="C7" s="20"/>
      <c r="D7" s="20"/>
      <c r="E7" s="20"/>
    </row>
    <row r="8" spans="1:5" ht="17" x14ac:dyDescent="0.2">
      <c r="A8" s="15" t="s">
        <v>17</v>
      </c>
      <c r="B8" s="30" t="e">
        <f>VLOOKUP(B2,[1]Settings!$A$7:$G$12,6,FALSE)</f>
        <v>#N/A</v>
      </c>
      <c r="C8" s="20"/>
      <c r="D8" s="20"/>
      <c r="E8" s="20"/>
    </row>
    <row r="9" spans="1:5" ht="17" x14ac:dyDescent="0.2">
      <c r="A9" s="15" t="s">
        <v>18</v>
      </c>
      <c r="B9" s="29" t="e">
        <f>VLOOKUP(B2,[1]Settings!$A$7:$G$12,7,FALSE)</f>
        <v>#N/A</v>
      </c>
      <c r="C9" s="20"/>
      <c r="D9" s="20"/>
      <c r="E9" s="20"/>
    </row>
    <row r="10" spans="1:5" ht="34" x14ac:dyDescent="0.2">
      <c r="A10" s="21" t="s">
        <v>19</v>
      </c>
      <c r="B10" s="13"/>
      <c r="C10" s="13"/>
      <c r="D10" s="13"/>
      <c r="E10" s="13"/>
    </row>
    <row r="11" spans="1:5" ht="17" x14ac:dyDescent="0.2">
      <c r="A11" s="15" t="s">
        <v>20</v>
      </c>
      <c r="B11" s="22" t="s">
        <v>24</v>
      </c>
      <c r="C11" s="22" t="s">
        <v>25</v>
      </c>
      <c r="D11" s="23" t="s">
        <v>21</v>
      </c>
      <c r="E11" s="23" t="s">
        <v>22</v>
      </c>
    </row>
    <row r="12" spans="1:5" x14ac:dyDescent="0.2">
      <c r="A12" s="24"/>
      <c r="B12" s="25"/>
      <c r="C12" s="25"/>
      <c r="D12" s="26"/>
      <c r="E12" s="26"/>
    </row>
    <row r="13" spans="1:5" x14ac:dyDescent="0.2">
      <c r="A13" s="24"/>
      <c r="B13" s="25"/>
      <c r="C13" s="25"/>
      <c r="D13" s="26"/>
      <c r="E13" s="26"/>
    </row>
    <row r="14" spans="1:5" x14ac:dyDescent="0.2">
      <c r="A14" s="24"/>
      <c r="B14" s="25"/>
      <c r="C14" s="25"/>
      <c r="D14" s="26"/>
      <c r="E14" s="26"/>
    </row>
    <row r="15" spans="1:5" x14ac:dyDescent="0.2">
      <c r="A15" s="24"/>
      <c r="B15" s="25"/>
      <c r="C15" s="25"/>
      <c r="D15" s="26"/>
      <c r="E15" s="26"/>
    </row>
    <row r="16" spans="1:5" x14ac:dyDescent="0.2">
      <c r="A16" s="24"/>
      <c r="B16" s="25"/>
      <c r="C16" s="25"/>
      <c r="D16" s="26"/>
      <c r="E16" s="26"/>
    </row>
    <row r="17" spans="1:5" x14ac:dyDescent="0.2">
      <c r="A17" s="24"/>
      <c r="B17" s="25"/>
      <c r="C17" s="25"/>
      <c r="D17" s="26"/>
      <c r="E17" s="26"/>
    </row>
    <row r="18" spans="1:5" x14ac:dyDescent="0.2">
      <c r="A18" s="24"/>
      <c r="B18" s="25"/>
      <c r="C18" s="25"/>
      <c r="D18" s="26"/>
      <c r="E18" s="26"/>
    </row>
    <row r="19" spans="1:5" x14ac:dyDescent="0.2">
      <c r="A19" s="24"/>
      <c r="B19" s="25"/>
      <c r="C19" s="25"/>
      <c r="D19" s="26"/>
      <c r="E19" s="26"/>
    </row>
  </sheetData>
  <dataConsolidate/>
  <dataValidations count="2">
    <dataValidation type="list" allowBlank="1" showInputMessage="1" showErrorMessage="1" sqref="B2" xr:uid="{702CEDD8-C33E-B941-899A-29837F9259CA}">
      <formula1>INDIRECT("cohort[Number]")</formula1>
    </dataValidation>
    <dataValidation type="list" allowBlank="1" showInputMessage="1" showErrorMessage="1" sqref="B12:C19" xr:uid="{A14F762D-80CF-444F-8EEF-2FC9D8799945}">
      <formula1>INDIRECT("x[For Drop Down X]")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InsertRow">
                <anchor moveWithCells="1" sizeWithCells="1">
                  <from>
                    <xdr:col>5</xdr:col>
                    <xdr:colOff>139700</xdr:colOff>
                    <xdr:row>19</xdr:row>
                    <xdr:rowOff>0</xdr:rowOff>
                  </from>
                  <to>
                    <xdr:col>6</xdr:col>
                    <xdr:colOff>393700</xdr:colOff>
                    <xdr:row>20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DC868-F017-DF40-91DA-68F6EEDDBC6A}">
  <sheetPr codeName="Sheet7"/>
  <dimension ref="A1:E19"/>
  <sheetViews>
    <sheetView workbookViewId="0">
      <selection activeCell="C18" sqref="C18"/>
    </sheetView>
  </sheetViews>
  <sheetFormatPr baseColWidth="10" defaultRowHeight="16" x14ac:dyDescent="0.2"/>
  <cols>
    <col min="1" max="1" width="31.5" customWidth="1"/>
    <col min="4" max="4" width="26.83203125" customWidth="1"/>
    <col min="5" max="5" width="56" customWidth="1"/>
  </cols>
  <sheetData>
    <row r="1" spans="1:5" ht="17" x14ac:dyDescent="0.2">
      <c r="A1" s="12" t="s">
        <v>11</v>
      </c>
      <c r="B1" s="13"/>
      <c r="C1" s="14"/>
      <c r="D1" s="14"/>
      <c r="E1" s="14"/>
    </row>
    <row r="2" spans="1:5" ht="17" x14ac:dyDescent="0.2">
      <c r="A2" s="15" t="s">
        <v>12</v>
      </c>
      <c r="B2" s="26"/>
      <c r="C2" s="17"/>
      <c r="D2" s="17"/>
      <c r="E2" s="18"/>
    </row>
    <row r="3" spans="1:5" ht="17" x14ac:dyDescent="0.2">
      <c r="A3" s="19" t="s">
        <v>13</v>
      </c>
      <c r="B3" s="30" t="e">
        <f>VLOOKUP(B2,[1]Settings!$A$7:$G$12,2,FALSE)</f>
        <v>#N/A</v>
      </c>
      <c r="C3" s="20"/>
      <c r="D3" s="20"/>
      <c r="E3" s="20"/>
    </row>
    <row r="4" spans="1:5" ht="17" x14ac:dyDescent="0.2">
      <c r="A4" s="15" t="s">
        <v>14</v>
      </c>
      <c r="B4" s="30" t="e">
        <f>VLOOKUP(B2,[1]Settings!$A$7:$G$12,3,FALSE)</f>
        <v>#N/A</v>
      </c>
      <c r="C4" s="20"/>
      <c r="D4" s="20"/>
      <c r="E4" s="20"/>
    </row>
    <row r="5" spans="1:5" ht="17" x14ac:dyDescent="0.2">
      <c r="A5" s="15" t="s">
        <v>15</v>
      </c>
      <c r="B5" s="30" t="e">
        <f>VLOOKUP(B2,[1]Settings!$A$7:$G$12,4,FALSE)</f>
        <v>#N/A</v>
      </c>
      <c r="C5" s="20"/>
      <c r="D5" s="20"/>
      <c r="E5" s="20"/>
    </row>
    <row r="6" spans="1:5" ht="17" x14ac:dyDescent="0.2">
      <c r="A6" s="15" t="s">
        <v>23</v>
      </c>
      <c r="B6" s="26"/>
      <c r="C6" s="20"/>
      <c r="D6" s="20"/>
      <c r="E6" s="20"/>
    </row>
    <row r="7" spans="1:5" ht="17" x14ac:dyDescent="0.2">
      <c r="A7" s="15" t="s">
        <v>16</v>
      </c>
      <c r="B7" s="31" t="e">
        <f>VLOOKUP(B2,[1]Settings!$A$7:$G$12,5,FALSE)</f>
        <v>#N/A</v>
      </c>
      <c r="C7" s="20"/>
      <c r="D7" s="20"/>
      <c r="E7" s="20"/>
    </row>
    <row r="8" spans="1:5" ht="17" x14ac:dyDescent="0.2">
      <c r="A8" s="15" t="s">
        <v>17</v>
      </c>
      <c r="B8" s="30" t="e">
        <f>VLOOKUP(B2,[1]Settings!$A$7:$G$12,6,FALSE)</f>
        <v>#N/A</v>
      </c>
      <c r="C8" s="20"/>
      <c r="D8" s="20"/>
      <c r="E8" s="20"/>
    </row>
    <row r="9" spans="1:5" ht="17" x14ac:dyDescent="0.2">
      <c r="A9" s="15" t="s">
        <v>18</v>
      </c>
      <c r="B9" s="29" t="e">
        <f>VLOOKUP(B2,[1]Settings!$A$7:$G$12,7,FALSE)</f>
        <v>#N/A</v>
      </c>
      <c r="C9" s="20"/>
      <c r="D9" s="20"/>
      <c r="E9" s="20"/>
    </row>
    <row r="10" spans="1:5" ht="34" x14ac:dyDescent="0.2">
      <c r="A10" s="21" t="s">
        <v>19</v>
      </c>
      <c r="B10" s="13"/>
      <c r="C10" s="13"/>
      <c r="D10" s="13"/>
      <c r="E10" s="13"/>
    </row>
    <row r="11" spans="1:5" ht="17" x14ac:dyDescent="0.2">
      <c r="A11" s="15" t="s">
        <v>20</v>
      </c>
      <c r="B11" s="22" t="s">
        <v>24</v>
      </c>
      <c r="C11" s="22" t="s">
        <v>25</v>
      </c>
      <c r="D11" s="23" t="s">
        <v>21</v>
      </c>
      <c r="E11" s="23" t="s">
        <v>22</v>
      </c>
    </row>
    <row r="12" spans="1:5" x14ac:dyDescent="0.2">
      <c r="A12" s="24"/>
      <c r="B12" s="25"/>
      <c r="C12" s="25"/>
      <c r="D12" s="26"/>
      <c r="E12" s="26"/>
    </row>
    <row r="13" spans="1:5" x14ac:dyDescent="0.2">
      <c r="A13" s="24"/>
      <c r="B13" s="25"/>
      <c r="C13" s="25"/>
      <c r="D13" s="26"/>
      <c r="E13" s="26"/>
    </row>
    <row r="14" spans="1:5" x14ac:dyDescent="0.2">
      <c r="A14" s="24"/>
      <c r="B14" s="25"/>
      <c r="C14" s="25"/>
      <c r="D14" s="26"/>
      <c r="E14" s="26"/>
    </row>
    <row r="15" spans="1:5" x14ac:dyDescent="0.2">
      <c r="A15" s="24"/>
      <c r="B15" s="25"/>
      <c r="C15" s="25"/>
      <c r="D15" s="26"/>
      <c r="E15" s="26"/>
    </row>
    <row r="16" spans="1:5" x14ac:dyDescent="0.2">
      <c r="A16" s="24"/>
      <c r="B16" s="25"/>
      <c r="C16" s="25"/>
      <c r="D16" s="26"/>
      <c r="E16" s="26"/>
    </row>
    <row r="17" spans="1:5" x14ac:dyDescent="0.2">
      <c r="A17" s="24"/>
      <c r="B17" s="25"/>
      <c r="C17" s="25"/>
      <c r="D17" s="26"/>
      <c r="E17" s="26"/>
    </row>
    <row r="18" spans="1:5" x14ac:dyDescent="0.2">
      <c r="A18" s="24"/>
      <c r="B18" s="25"/>
      <c r="C18" s="25"/>
      <c r="D18" s="26"/>
      <c r="E18" s="26"/>
    </row>
    <row r="19" spans="1:5" x14ac:dyDescent="0.2">
      <c r="A19" s="24"/>
      <c r="B19" s="25"/>
      <c r="C19" s="25"/>
      <c r="D19" s="26"/>
      <c r="E19" s="26"/>
    </row>
  </sheetData>
  <dataConsolidate/>
  <dataValidations count="2">
    <dataValidation type="list" allowBlank="1" showInputMessage="1" showErrorMessage="1" sqref="B2" xr:uid="{02C40874-536C-9C4C-979A-49EF88CFB322}">
      <formula1>INDIRECT("cohort[Number]")</formula1>
    </dataValidation>
    <dataValidation type="list" allowBlank="1" showInputMessage="1" showErrorMessage="1" sqref="B12:C19" xr:uid="{A03E20E5-A80B-7943-976B-25283905ADAC}">
      <formula1>INDIRECT("x[For Drop Down X]")</formula1>
    </dataValidation>
  </dataValidations>
  <pageMargins left="0.7" right="0.7" top="0.75" bottom="0.75" header="0.3" footer="0.3"/>
  <pageSetup paperSize="9"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InsertRow">
                <anchor moveWithCells="1" sizeWithCells="1">
                  <from>
                    <xdr:col>5</xdr:col>
                    <xdr:colOff>88900</xdr:colOff>
                    <xdr:row>19</xdr:row>
                    <xdr:rowOff>0</xdr:rowOff>
                  </from>
                  <to>
                    <xdr:col>6</xdr:col>
                    <xdr:colOff>342900</xdr:colOff>
                    <xdr:row>20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Experiment Details</vt:lpstr>
      <vt:lpstr>Subject Details Template</vt:lpstr>
      <vt:lpstr>Subject Details (1)</vt:lpstr>
      <vt:lpstr>Subject Details (2)</vt:lpstr>
      <vt:lpstr>Subject Details (3)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Boretska, Solomia</dc:creator>
  <cp:lastModifiedBy>Boretska, Solomia</cp:lastModifiedBy>
  <dcterms:created xsi:type="dcterms:W3CDTF">2018-06-05T11:38:23Z</dcterms:created>
  <dcterms:modified xsi:type="dcterms:W3CDTF">2018-09-12T08:34:00Z</dcterms:modified>
</cp:coreProperties>
</file>